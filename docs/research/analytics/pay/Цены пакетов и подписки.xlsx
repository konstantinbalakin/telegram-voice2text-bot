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.balakin/MyProjects/telegram-voice2text-bot/docs/research/analytics/pay/"/>
    </mc:Choice>
  </mc:AlternateContent>
  <xr:revisionPtr revIDLastSave="0" documentId="13_ncr:1_{B2A2EF21-8E39-474F-B17D-055D715A04B5}" xr6:coauthVersionLast="47" xr6:coauthVersionMax="47" xr10:uidLastSave="{00000000-0000-0000-0000-000000000000}"/>
  <bookViews>
    <workbookView xWindow="0" yWindow="600" windowWidth="46080" windowHeight="28800" xr2:uid="{5AD87894-3EE1-134F-9885-52B11AD598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B29" i="1"/>
  <c r="B30" i="1"/>
  <c r="B31" i="1"/>
  <c r="B28" i="1"/>
  <c r="E28" i="1"/>
  <c r="E31" i="1"/>
  <c r="E30" i="1"/>
  <c r="E29" i="1"/>
  <c r="Q16" i="1"/>
  <c r="Q15" i="1"/>
  <c r="R15" i="1"/>
  <c r="V15" i="1" s="1"/>
  <c r="S15" i="1"/>
  <c r="W15" i="1" s="1"/>
  <c r="T15" i="1"/>
  <c r="X15" i="1" s="1"/>
  <c r="U15" i="1"/>
  <c r="Y15" i="1" s="1"/>
  <c r="R16" i="1"/>
  <c r="V16" i="1" s="1"/>
  <c r="S16" i="1"/>
  <c r="W16" i="1" s="1"/>
  <c r="T16" i="1"/>
  <c r="U16" i="1"/>
  <c r="Y16" i="1" s="1"/>
  <c r="S14" i="1"/>
  <c r="T14" i="1"/>
  <c r="U14" i="1"/>
  <c r="Y14" i="1" s="1"/>
  <c r="R14" i="1"/>
  <c r="V14" i="1" s="1"/>
  <c r="X16" i="1"/>
  <c r="P16" i="1"/>
  <c r="O14" i="1"/>
  <c r="W8" i="1"/>
  <c r="X8" i="1"/>
  <c r="Y8" i="1"/>
  <c r="V6" i="1"/>
  <c r="Q8" i="1"/>
  <c r="Q7" i="1"/>
  <c r="P8" i="1"/>
  <c r="R7" i="1"/>
  <c r="V7" i="1" s="1"/>
  <c r="S7" i="1"/>
  <c r="W7" i="1" s="1"/>
  <c r="T7" i="1"/>
  <c r="X7" i="1" s="1"/>
  <c r="U7" i="1"/>
  <c r="Y7" i="1" s="1"/>
  <c r="R8" i="1"/>
  <c r="V8" i="1" s="1"/>
  <c r="S8" i="1"/>
  <c r="T8" i="1"/>
  <c r="U8" i="1"/>
  <c r="O6" i="1"/>
  <c r="R6" i="1" s="1"/>
  <c r="C24" i="1"/>
  <c r="E24" i="1" s="1"/>
  <c r="C23" i="1"/>
  <c r="E23" i="1" s="1"/>
  <c r="C22" i="1"/>
  <c r="E22" i="1" s="1"/>
  <c r="C21" i="1"/>
  <c r="E21" i="1" s="1"/>
  <c r="I16" i="1"/>
  <c r="G16" i="1" s="1"/>
  <c r="I17" i="1"/>
  <c r="G17" i="1" s="1"/>
  <c r="I15" i="1"/>
  <c r="G15" i="1" s="1"/>
  <c r="G14" i="1"/>
  <c r="K14" i="1"/>
  <c r="C17" i="1"/>
  <c r="E17" i="1" s="1"/>
  <c r="C16" i="1"/>
  <c r="E16" i="1" s="1"/>
  <c r="C15" i="1"/>
  <c r="E15" i="1" s="1"/>
  <c r="C14" i="1"/>
  <c r="E14" i="1" s="1"/>
  <c r="C9" i="1"/>
  <c r="E9" i="1" s="1"/>
  <c r="C8" i="1"/>
  <c r="E8" i="1" s="1"/>
  <c r="C7" i="1"/>
  <c r="E7" i="1" s="1"/>
  <c r="C6" i="1"/>
  <c r="D7" i="1" s="1"/>
  <c r="X14" i="1" l="1"/>
  <c r="D31" i="1"/>
  <c r="W14" i="1"/>
  <c r="S6" i="1"/>
  <c r="W6" i="1" s="1"/>
  <c r="U6" i="1"/>
  <c r="Y6" i="1" s="1"/>
  <c r="T6" i="1"/>
  <c r="X6" i="1" s="1"/>
  <c r="D15" i="1"/>
  <c r="D8" i="1"/>
  <c r="D16" i="1"/>
  <c r="D17" i="1"/>
  <c r="D9" i="1"/>
  <c r="E6" i="1"/>
  <c r="K17" i="1"/>
  <c r="D22" i="1"/>
  <c r="D23" i="1"/>
  <c r="D24" i="1"/>
  <c r="K15" i="1"/>
  <c r="K16" i="1"/>
</calcChain>
</file>

<file path=xl/sharedStrings.xml><?xml version="1.0" encoding="utf-8"?>
<sst xmlns="http://schemas.openxmlformats.org/spreadsheetml/2006/main" count="53" uniqueCount="18">
  <si>
    <t>my_voice_messages_bot</t>
  </si>
  <si>
    <t>Мин</t>
  </si>
  <si>
    <t>Стоим</t>
  </si>
  <si>
    <t>Цена минуты</t>
  </si>
  <si>
    <t>Маржа</t>
  </si>
  <si>
    <t>Себестоимость минуты</t>
  </si>
  <si>
    <t>Скидка</t>
  </si>
  <si>
    <t>voice2textio_bot</t>
  </si>
  <si>
    <t>Пакеты</t>
  </si>
  <si>
    <t>Подписка</t>
  </si>
  <si>
    <t>Срок</t>
  </si>
  <si>
    <t>Месяц</t>
  </si>
  <si>
    <t>Год</t>
  </si>
  <si>
    <t>Неделя (69 р/нед)</t>
  </si>
  <si>
    <t>Стоимость/мес</t>
  </si>
  <si>
    <t>Разовый платеж</t>
  </si>
  <si>
    <t>Цена минуты (при разной утилизации)</t>
  </si>
  <si>
    <t>10 мин в день бесплатно всем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</si>
</sst>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B3B3B"/>
      <name val="Menlo"/>
      <family val="2"/>
    </font>
    <font>
      <b/>
      <sz val="12"/>
      <color rgb="FF3B3B3B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9" fontId="0" fillId="0" borderId="0" xfId="1" applyFont="1"/>
    <xf numFmtId="9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9" fontId="0" fillId="2" borderId="0" xfId="0" applyNumberFormat="1" applyFill="1"/>
    <xf numFmtId="9" fontId="0" fillId="2" borderId="0" xfId="1" applyFont="1" applyFill="1"/>
    <xf numFmtId="0" fontId="2" fillId="0" borderId="0" xfId="0" applyFont="1"/>
    <xf numFmtId="1" fontId="0" fillId="0" borderId="0" xfId="0" applyNumberFormat="1"/>
    <xf numFmtId="0" fontId="4" fillId="0" borderId="0" xfId="0" applyFont="1"/>
    <xf numFmtId="1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F9E8-F2B5-2D44-B8CD-E547CB3034ED}">
  <dimension ref="A1:Y35"/>
  <sheetViews>
    <sheetView tabSelected="1" workbookViewId="0">
      <selection activeCell="A4" sqref="A4"/>
    </sheetView>
  </sheetViews>
  <sheetFormatPr baseColWidth="10" defaultRowHeight="16" x14ac:dyDescent="0.2"/>
  <cols>
    <col min="13" max="13" width="26" bestFit="1" customWidth="1"/>
    <col min="14" max="14" width="5.1640625" bestFit="1" customWidth="1"/>
    <col min="15" max="15" width="14" bestFit="1" customWidth="1"/>
    <col min="16" max="16" width="15" bestFit="1" customWidth="1"/>
    <col min="17" max="17" width="15" customWidth="1"/>
    <col min="18" max="18" width="12.6640625" bestFit="1" customWidth="1"/>
  </cols>
  <sheetData>
    <row r="1" spans="1:25" x14ac:dyDescent="0.2">
      <c r="A1" t="s">
        <v>5</v>
      </c>
      <c r="C1">
        <v>0.67</v>
      </c>
    </row>
    <row r="3" spans="1:25" x14ac:dyDescent="0.2">
      <c r="A3" s="9" t="s">
        <v>8</v>
      </c>
      <c r="M3" s="9" t="s">
        <v>9</v>
      </c>
    </row>
    <row r="4" spans="1:25" x14ac:dyDescent="0.2">
      <c r="A4" s="1" t="s">
        <v>0</v>
      </c>
      <c r="M4" s="1" t="s">
        <v>0</v>
      </c>
      <c r="R4" s="9" t="s">
        <v>16</v>
      </c>
      <c r="V4" s="9" t="s">
        <v>4</v>
      </c>
    </row>
    <row r="5" spans="1:25" x14ac:dyDescent="0.2">
      <c r="A5" s="11" t="s">
        <v>1</v>
      </c>
      <c r="B5" s="9" t="s">
        <v>2</v>
      </c>
      <c r="C5" s="9" t="s">
        <v>3</v>
      </c>
      <c r="D5" s="9" t="s">
        <v>6</v>
      </c>
      <c r="E5" s="9" t="s">
        <v>4</v>
      </c>
      <c r="M5" s="9" t="s">
        <v>10</v>
      </c>
      <c r="N5" s="9" t="s">
        <v>1</v>
      </c>
      <c r="O5" s="9" t="s">
        <v>14</v>
      </c>
      <c r="P5" s="9" t="s">
        <v>15</v>
      </c>
      <c r="Q5" s="9" t="s">
        <v>6</v>
      </c>
      <c r="R5" s="3">
        <v>1</v>
      </c>
      <c r="S5" s="3">
        <v>0.5</v>
      </c>
      <c r="T5" s="3">
        <v>0.1</v>
      </c>
      <c r="U5" s="3">
        <v>0.05</v>
      </c>
      <c r="V5" s="3">
        <v>1</v>
      </c>
      <c r="W5" s="3">
        <v>0.5</v>
      </c>
      <c r="X5" s="3">
        <v>0.1</v>
      </c>
      <c r="Y5" s="3">
        <v>0.05</v>
      </c>
    </row>
    <row r="6" spans="1:25" x14ac:dyDescent="0.2">
      <c r="A6" s="5">
        <v>50</v>
      </c>
      <c r="B6" s="5">
        <v>149</v>
      </c>
      <c r="C6">
        <f>B6/A6</f>
        <v>2.98</v>
      </c>
      <c r="D6" s="3">
        <v>0</v>
      </c>
      <c r="E6" s="2">
        <f>(C6-$C$1)/C6</f>
        <v>0.77516778523489938</v>
      </c>
      <c r="M6" t="s">
        <v>13</v>
      </c>
      <c r="N6">
        <v>30</v>
      </c>
      <c r="O6" s="10">
        <f>69/7*30</f>
        <v>295.71428571428572</v>
      </c>
      <c r="P6" s="10">
        <v>69</v>
      </c>
      <c r="Q6" s="3">
        <v>0</v>
      </c>
      <c r="R6" s="4">
        <f>$O6/($N6*30*R$5)</f>
        <v>0.32857142857142857</v>
      </c>
      <c r="S6" s="4">
        <f t="shared" ref="S6:U8" si="0">$O6/($N6*30*S$5)</f>
        <v>0.65714285714285714</v>
      </c>
      <c r="T6" s="4">
        <f t="shared" si="0"/>
        <v>3.2857142857142856</v>
      </c>
      <c r="U6" s="4">
        <f t="shared" si="0"/>
        <v>6.5714285714285712</v>
      </c>
      <c r="V6" s="2">
        <f>(R6-$C$1)/R6</f>
        <v>-1.0391304347826089</v>
      </c>
      <c r="W6" s="2">
        <f t="shared" ref="W6:Y6" si="1">(S6-$C$1)/S6</f>
        <v>-1.9565217391304415E-2</v>
      </c>
      <c r="X6" s="2">
        <f t="shared" si="1"/>
        <v>0.79608695652173911</v>
      </c>
      <c r="Y6" s="2">
        <f t="shared" si="1"/>
        <v>0.89804347826086961</v>
      </c>
    </row>
    <row r="7" spans="1:25" x14ac:dyDescent="0.2">
      <c r="A7" s="5">
        <v>100</v>
      </c>
      <c r="B7" s="5">
        <v>249</v>
      </c>
      <c r="C7">
        <f>B7/A7</f>
        <v>2.4900000000000002</v>
      </c>
      <c r="D7" s="2">
        <f>(C$6-C7)/C$6</f>
        <v>0.16442953020134221</v>
      </c>
      <c r="E7" s="2">
        <f>(C7-$C$1)/C7</f>
        <v>0.73092369477911656</v>
      </c>
      <c r="M7" t="s">
        <v>11</v>
      </c>
      <c r="N7">
        <v>30</v>
      </c>
      <c r="O7">
        <v>199</v>
      </c>
      <c r="P7">
        <v>199</v>
      </c>
      <c r="Q7" s="2">
        <f>(O$6-O7)/O$6</f>
        <v>0.3270531400966184</v>
      </c>
      <c r="R7" s="4">
        <f t="shared" ref="R7:R8" si="2">$O7/($N7*30*R$5)</f>
        <v>0.22111111111111112</v>
      </c>
      <c r="S7" s="4">
        <f t="shared" si="0"/>
        <v>0.44222222222222224</v>
      </c>
      <c r="T7" s="4">
        <f t="shared" si="0"/>
        <v>2.2111111111111112</v>
      </c>
      <c r="U7" s="4">
        <f t="shared" si="0"/>
        <v>4.4222222222222225</v>
      </c>
      <c r="V7" s="2">
        <f t="shared" ref="V7:V8" si="3">(R7-$C$1)/R7</f>
        <v>-2.0301507537688441</v>
      </c>
      <c r="W7" s="2">
        <f t="shared" ref="W7:W8" si="4">(S7-$C$1)/S7</f>
        <v>-0.51507537688442218</v>
      </c>
      <c r="X7" s="2">
        <f t="shared" ref="X7:X8" si="5">(T7-$C$1)/T7</f>
        <v>0.69698492462311568</v>
      </c>
      <c r="Y7" s="2">
        <f t="shared" ref="Y7:Y8" si="6">(U7-$C$1)/U7</f>
        <v>0.84849246231155784</v>
      </c>
    </row>
    <row r="8" spans="1:25" x14ac:dyDescent="0.2">
      <c r="A8" s="5">
        <v>500</v>
      </c>
      <c r="B8" s="5">
        <v>849</v>
      </c>
      <c r="C8" s="4">
        <f>B8/A8</f>
        <v>1.698</v>
      </c>
      <c r="D8" s="2">
        <f>(C$6-C8)/C$6</f>
        <v>0.43020134228187923</v>
      </c>
      <c r="E8" s="2">
        <f>(C8-$C$1)/C8</f>
        <v>0.60541813898704366</v>
      </c>
      <c r="M8" t="s">
        <v>12</v>
      </c>
      <c r="N8">
        <v>30</v>
      </c>
      <c r="O8">
        <v>139</v>
      </c>
      <c r="P8">
        <f>O8*12</f>
        <v>1668</v>
      </c>
      <c r="Q8" s="2">
        <f>(O$6-O8)/O$6</f>
        <v>0.52995169082125604</v>
      </c>
      <c r="R8" s="4">
        <f t="shared" si="2"/>
        <v>0.15444444444444444</v>
      </c>
      <c r="S8" s="4">
        <f t="shared" si="0"/>
        <v>0.30888888888888888</v>
      </c>
      <c r="T8" s="4">
        <f t="shared" si="0"/>
        <v>1.5444444444444445</v>
      </c>
      <c r="U8" s="4">
        <f t="shared" si="0"/>
        <v>3.088888888888889</v>
      </c>
      <c r="V8" s="2">
        <f t="shared" si="3"/>
        <v>-3.3381294964028778</v>
      </c>
      <c r="W8" s="2">
        <f t="shared" si="4"/>
        <v>-1.1690647482014391</v>
      </c>
      <c r="X8" s="2">
        <f t="shared" si="5"/>
        <v>0.56618705035971217</v>
      </c>
      <c r="Y8" s="2">
        <f t="shared" si="6"/>
        <v>0.7830935251798562</v>
      </c>
    </row>
    <row r="9" spans="1:25" x14ac:dyDescent="0.2">
      <c r="A9" s="5">
        <v>5000</v>
      </c>
      <c r="B9" s="5">
        <v>7499</v>
      </c>
      <c r="C9" s="4">
        <f>B9/A9</f>
        <v>1.4998</v>
      </c>
      <c r="D9" s="2">
        <f>(C$6-C9)/C$6</f>
        <v>0.49671140939597314</v>
      </c>
      <c r="E9" s="2">
        <f>(C9-$C$1)/C9</f>
        <v>0.55327376983597809</v>
      </c>
    </row>
    <row r="12" spans="1:25" x14ac:dyDescent="0.2">
      <c r="A12" s="1" t="s">
        <v>7</v>
      </c>
      <c r="M12" s="1" t="s">
        <v>7</v>
      </c>
      <c r="R12" s="9" t="s">
        <v>16</v>
      </c>
      <c r="V12" s="9" t="s">
        <v>4</v>
      </c>
    </row>
    <row r="13" spans="1:25" x14ac:dyDescent="0.2">
      <c r="A13" s="11" t="s">
        <v>1</v>
      </c>
      <c r="B13" s="9" t="s">
        <v>2</v>
      </c>
      <c r="C13" s="9" t="s">
        <v>3</v>
      </c>
      <c r="D13" s="9" t="s">
        <v>6</v>
      </c>
      <c r="E13" s="9" t="s">
        <v>4</v>
      </c>
      <c r="G13" s="11" t="s">
        <v>1</v>
      </c>
      <c r="H13" s="9" t="s">
        <v>2</v>
      </c>
      <c r="I13" s="9" t="s">
        <v>3</v>
      </c>
      <c r="J13" s="9" t="s">
        <v>6</v>
      </c>
      <c r="K13" s="9" t="s">
        <v>4</v>
      </c>
      <c r="M13" s="9" t="s">
        <v>10</v>
      </c>
      <c r="N13" s="9" t="s">
        <v>1</v>
      </c>
      <c r="O13" s="9" t="s">
        <v>14</v>
      </c>
      <c r="P13" s="9" t="s">
        <v>15</v>
      </c>
      <c r="Q13" s="9" t="s">
        <v>6</v>
      </c>
      <c r="R13" s="3">
        <v>1</v>
      </c>
      <c r="S13" s="3">
        <v>0.5</v>
      </c>
      <c r="T13" s="3">
        <v>0.1</v>
      </c>
      <c r="U13" s="3">
        <v>0.05</v>
      </c>
      <c r="V13" s="3">
        <v>1</v>
      </c>
      <c r="W13" s="3">
        <v>0.5</v>
      </c>
      <c r="X13" s="3">
        <v>0.1</v>
      </c>
      <c r="Y13" s="3">
        <v>0.05</v>
      </c>
    </row>
    <row r="14" spans="1:25" x14ac:dyDescent="0.2">
      <c r="A14" s="5">
        <v>10</v>
      </c>
      <c r="B14" s="5">
        <v>29</v>
      </c>
      <c r="C14">
        <f>B14/A14</f>
        <v>2.9</v>
      </c>
      <c r="D14" s="3">
        <v>0</v>
      </c>
      <c r="E14" s="2">
        <f>(C14-$C$1)/C14</f>
        <v>0.76896551724137929</v>
      </c>
      <c r="G14">
        <f>H14/I14</f>
        <v>39.6</v>
      </c>
      <c r="H14" s="5">
        <v>99</v>
      </c>
      <c r="I14" s="6">
        <v>2.5</v>
      </c>
      <c r="J14" s="7">
        <v>0</v>
      </c>
      <c r="K14" s="2">
        <f>(I14-$C$1)/I14</f>
        <v>0.73199999999999998</v>
      </c>
      <c r="M14" t="s">
        <v>13</v>
      </c>
      <c r="N14">
        <v>30</v>
      </c>
      <c r="O14" s="10">
        <f>69/7*30</f>
        <v>295.71428571428572</v>
      </c>
      <c r="P14" s="10">
        <v>69</v>
      </c>
      <c r="Q14" s="3">
        <v>0</v>
      </c>
      <c r="R14" s="4">
        <f>$O14/($N14*30*R$13)</f>
        <v>0.32857142857142857</v>
      </c>
      <c r="S14" s="4">
        <f t="shared" ref="S14:U16" si="7">$O14/($N14*30*S$13)</f>
        <v>0.65714285714285714</v>
      </c>
      <c r="T14" s="4">
        <f t="shared" si="7"/>
        <v>3.2857142857142856</v>
      </c>
      <c r="U14" s="4">
        <f t="shared" si="7"/>
        <v>6.5714285714285712</v>
      </c>
      <c r="V14" s="2">
        <f>(R14-$C$1)/R14</f>
        <v>-1.0391304347826089</v>
      </c>
      <c r="W14" s="2">
        <f t="shared" ref="W14:W16" si="8">(S14-$C$1)/S14</f>
        <v>-1.9565217391304415E-2</v>
      </c>
      <c r="X14" s="2">
        <f t="shared" ref="X14:X16" si="9">(T14-$C$1)/T14</f>
        <v>0.79608695652173911</v>
      </c>
      <c r="Y14" s="2">
        <f t="shared" ref="Y14:Y16" si="10">(U14-$C$1)/U14</f>
        <v>0.89804347826086961</v>
      </c>
    </row>
    <row r="15" spans="1:25" x14ac:dyDescent="0.2">
      <c r="A15" s="5">
        <v>30</v>
      </c>
      <c r="B15" s="5">
        <v>69</v>
      </c>
      <c r="C15">
        <f>B15/A15</f>
        <v>2.2999999999999998</v>
      </c>
      <c r="D15" s="2">
        <f>(C$14-C15)/C$14</f>
        <v>0.20689655172413796</v>
      </c>
      <c r="E15" s="2">
        <f>(C15-$C$1)/C15</f>
        <v>0.70869565217391306</v>
      </c>
      <c r="G15">
        <f t="shared" ref="G15:G17" si="11">H15/I15</f>
        <v>93.647058823529406</v>
      </c>
      <c r="H15" s="5">
        <v>199</v>
      </c>
      <c r="I15" s="4">
        <f>I$14*(1-J15)</f>
        <v>2.125</v>
      </c>
      <c r="J15" s="8">
        <v>0.15</v>
      </c>
      <c r="K15" s="2">
        <f>(I15-$C$1)/I15</f>
        <v>0.68470588235294116</v>
      </c>
      <c r="M15" t="s">
        <v>11</v>
      </c>
      <c r="N15">
        <v>30</v>
      </c>
      <c r="O15">
        <v>199</v>
      </c>
      <c r="P15">
        <v>199</v>
      </c>
      <c r="Q15" s="2">
        <f>(O$14-O15)/O$14</f>
        <v>0.3270531400966184</v>
      </c>
      <c r="R15" s="4">
        <f t="shared" ref="R15:R16" si="12">$O15/($N15*30*R$13)</f>
        <v>0.22111111111111112</v>
      </c>
      <c r="S15" s="4">
        <f t="shared" si="7"/>
        <v>0.44222222222222224</v>
      </c>
      <c r="T15" s="4">
        <f t="shared" si="7"/>
        <v>2.2111111111111112</v>
      </c>
      <c r="U15" s="4">
        <f t="shared" si="7"/>
        <v>4.4222222222222225</v>
      </c>
      <c r="V15" s="2">
        <f t="shared" ref="V15:V16" si="13">(R15-$C$1)/R15</f>
        <v>-2.0301507537688441</v>
      </c>
      <c r="W15" s="2">
        <f t="shared" si="8"/>
        <v>-0.51507537688442218</v>
      </c>
      <c r="X15" s="2">
        <f t="shared" si="9"/>
        <v>0.69698492462311568</v>
      </c>
      <c r="Y15" s="2">
        <f t="shared" si="10"/>
        <v>0.84849246231155784</v>
      </c>
    </row>
    <row r="16" spans="1:25" x14ac:dyDescent="0.2">
      <c r="A16" s="5">
        <v>100</v>
      </c>
      <c r="B16" s="5">
        <v>169</v>
      </c>
      <c r="C16" s="4">
        <f>B16/A16</f>
        <v>1.69</v>
      </c>
      <c r="D16" s="2">
        <f t="shared" ref="D16:D17" si="14">(C$14-C16)/C$14</f>
        <v>0.41724137931034483</v>
      </c>
      <c r="E16" s="2">
        <f>(C16-$C$1)/C16</f>
        <v>0.60355029585798825</v>
      </c>
      <c r="G16">
        <f t="shared" si="11"/>
        <v>332.66666666666669</v>
      </c>
      <c r="H16" s="5">
        <v>499</v>
      </c>
      <c r="I16" s="4">
        <f t="shared" ref="I16:I17" si="15">I$14*(1-J16)</f>
        <v>1.5</v>
      </c>
      <c r="J16" s="8">
        <v>0.4</v>
      </c>
      <c r="K16" s="2">
        <f>(I16-$C$1)/I16</f>
        <v>0.55333333333333334</v>
      </c>
      <c r="M16" t="s">
        <v>12</v>
      </c>
      <c r="N16">
        <v>30</v>
      </c>
      <c r="O16">
        <v>139</v>
      </c>
      <c r="P16">
        <f>O16*12</f>
        <v>1668</v>
      </c>
      <c r="Q16" s="2">
        <f>(O$14-O16)/O$14</f>
        <v>0.52995169082125604</v>
      </c>
      <c r="R16" s="4">
        <f t="shared" si="12"/>
        <v>0.15444444444444444</v>
      </c>
      <c r="S16" s="4">
        <f t="shared" si="7"/>
        <v>0.30888888888888888</v>
      </c>
      <c r="T16" s="4">
        <f t="shared" si="7"/>
        <v>1.5444444444444445</v>
      </c>
      <c r="U16" s="4">
        <f t="shared" si="7"/>
        <v>3.088888888888889</v>
      </c>
      <c r="V16" s="2">
        <f t="shared" si="13"/>
        <v>-3.3381294964028778</v>
      </c>
      <c r="W16" s="2">
        <f t="shared" si="8"/>
        <v>-1.1690647482014391</v>
      </c>
      <c r="X16" s="2">
        <f t="shared" si="9"/>
        <v>0.56618705035971217</v>
      </c>
      <c r="Y16" s="2">
        <f t="shared" si="10"/>
        <v>0.7830935251798562</v>
      </c>
    </row>
    <row r="17" spans="1:11" x14ac:dyDescent="0.2">
      <c r="A17" s="5">
        <v>500</v>
      </c>
      <c r="B17" s="5">
        <v>690</v>
      </c>
      <c r="C17" s="4">
        <f>B17/A17</f>
        <v>1.38</v>
      </c>
      <c r="D17" s="2">
        <f t="shared" si="14"/>
        <v>0.52413793103448281</v>
      </c>
      <c r="E17" s="2">
        <f>(C17-$C$1)/C17</f>
        <v>0.51449275362318836</v>
      </c>
      <c r="G17">
        <f t="shared" si="11"/>
        <v>1199.2</v>
      </c>
      <c r="H17" s="5">
        <v>1499</v>
      </c>
      <c r="I17" s="4">
        <f t="shared" si="15"/>
        <v>1.25</v>
      </c>
      <c r="J17" s="8">
        <v>0.5</v>
      </c>
      <c r="K17" s="2">
        <f>(I17-$C$1)/I17</f>
        <v>0.46399999999999997</v>
      </c>
    </row>
    <row r="20" spans="1:11" x14ac:dyDescent="0.2">
      <c r="A20" s="11" t="s">
        <v>1</v>
      </c>
      <c r="B20" s="9" t="s">
        <v>2</v>
      </c>
      <c r="C20" s="9" t="s">
        <v>3</v>
      </c>
      <c r="D20" s="9" t="s">
        <v>6</v>
      </c>
      <c r="E20" s="9" t="s">
        <v>4</v>
      </c>
    </row>
    <row r="21" spans="1:11" x14ac:dyDescent="0.2">
      <c r="A21" s="5">
        <v>40</v>
      </c>
      <c r="B21" s="5">
        <v>99</v>
      </c>
      <c r="C21">
        <f>B21/A21</f>
        <v>2.4750000000000001</v>
      </c>
      <c r="D21" s="3">
        <v>0</v>
      </c>
      <c r="E21" s="2">
        <f>(C21-$C$1)/C21</f>
        <v>0.72929292929292933</v>
      </c>
    </row>
    <row r="22" spans="1:11" x14ac:dyDescent="0.2">
      <c r="A22" s="5">
        <v>100</v>
      </c>
      <c r="B22" s="5">
        <v>199</v>
      </c>
      <c r="C22">
        <f>B22/A22</f>
        <v>1.99</v>
      </c>
      <c r="D22" s="2">
        <f>(C$21-C22)/C$21</f>
        <v>0.195959595959596</v>
      </c>
      <c r="E22" s="2">
        <f>(C22-$C$1)/C22</f>
        <v>0.66331658291457274</v>
      </c>
    </row>
    <row r="23" spans="1:11" x14ac:dyDescent="0.2">
      <c r="A23" s="5">
        <v>300</v>
      </c>
      <c r="B23" s="5">
        <v>499</v>
      </c>
      <c r="C23" s="4">
        <f>B23/A23</f>
        <v>1.6633333333333333</v>
      </c>
      <c r="D23" s="2">
        <f>(C$21-C23)/C$21</f>
        <v>0.32794612794612799</v>
      </c>
      <c r="E23" s="2">
        <f>(C23-$C$1)/C23</f>
        <v>0.59719438877755504</v>
      </c>
    </row>
    <row r="24" spans="1:11" x14ac:dyDescent="0.2">
      <c r="A24" s="5">
        <v>1200</v>
      </c>
      <c r="B24" s="5">
        <v>1499</v>
      </c>
      <c r="C24" s="4">
        <f>B24/A24</f>
        <v>1.2491666666666668</v>
      </c>
      <c r="D24" s="2">
        <f>(C$21-C24)/C$21</f>
        <v>0.49528619528619527</v>
      </c>
      <c r="E24" s="2">
        <f>(C24-$C$1)/C24</f>
        <v>0.46364242828552371</v>
      </c>
    </row>
    <row r="27" spans="1:11" x14ac:dyDescent="0.2">
      <c r="A27" s="11" t="s">
        <v>1</v>
      </c>
      <c r="B27" s="9" t="s">
        <v>2</v>
      </c>
      <c r="C27" s="9" t="s">
        <v>3</v>
      </c>
      <c r="D27" s="9" t="s">
        <v>6</v>
      </c>
      <c r="E27" s="9" t="s">
        <v>4</v>
      </c>
    </row>
    <row r="28" spans="1:11" x14ac:dyDescent="0.2">
      <c r="A28" s="5">
        <v>50</v>
      </c>
      <c r="B28" s="12">
        <f>A28*C28</f>
        <v>100</v>
      </c>
      <c r="C28" s="6">
        <v>2</v>
      </c>
      <c r="D28" s="3">
        <v>0</v>
      </c>
      <c r="E28" s="2">
        <f>(C28-$C$1)/C28</f>
        <v>0.66500000000000004</v>
      </c>
    </row>
    <row r="29" spans="1:11" x14ac:dyDescent="0.2">
      <c r="A29" s="5">
        <v>100</v>
      </c>
      <c r="B29" s="12">
        <f t="shared" ref="B29:B31" si="16">A29*C29</f>
        <v>175</v>
      </c>
      <c r="C29" s="6">
        <v>1.75</v>
      </c>
      <c r="D29" s="2">
        <f>(C$28-C29)/C$28</f>
        <v>0.125</v>
      </c>
      <c r="E29" s="2">
        <f>(C29-$C$1)/C29</f>
        <v>0.61714285714285722</v>
      </c>
    </row>
    <row r="30" spans="1:11" x14ac:dyDescent="0.2">
      <c r="A30" s="5">
        <v>500</v>
      </c>
      <c r="B30" s="12">
        <f t="shared" si="16"/>
        <v>750</v>
      </c>
      <c r="C30" s="6">
        <v>1.5</v>
      </c>
      <c r="D30" s="2">
        <f>(C$28-C30)/C$28</f>
        <v>0.25</v>
      </c>
      <c r="E30" s="2">
        <f>(C30-$C$1)/C30</f>
        <v>0.55333333333333334</v>
      </c>
    </row>
    <row r="31" spans="1:11" x14ac:dyDescent="0.2">
      <c r="A31" s="5">
        <v>5000</v>
      </c>
      <c r="B31" s="12">
        <f t="shared" si="16"/>
        <v>5000</v>
      </c>
      <c r="C31" s="6">
        <v>1</v>
      </c>
      <c r="D31" s="2">
        <f t="shared" ref="D30:D31" si="17">(C$28-C31)/C$28</f>
        <v>0.5</v>
      </c>
      <c r="E31" s="2">
        <f>(C31-$C$1)/C31</f>
        <v>0.32999999999999996</v>
      </c>
    </row>
    <row r="35" spans="1:1" x14ac:dyDescent="0.2">
      <c r="A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balakin</dc:creator>
  <cp:lastModifiedBy>k balakin</cp:lastModifiedBy>
  <dcterms:created xsi:type="dcterms:W3CDTF">2026-03-01T12:26:15Z</dcterms:created>
  <dcterms:modified xsi:type="dcterms:W3CDTF">2026-03-01T17:32:37Z</dcterms:modified>
</cp:coreProperties>
</file>